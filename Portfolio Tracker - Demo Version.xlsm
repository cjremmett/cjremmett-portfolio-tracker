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Core\Work\Job Applications\"/>
    </mc:Choice>
  </mc:AlternateContent>
  <xr:revisionPtr revIDLastSave="0" documentId="13_ncr:1_{66EF3673-6E9B-480B-BF09-76592635F9C5}" xr6:coauthVersionLast="45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Holdings" sheetId="1" r:id="rId1"/>
    <sheet name="Currency" sheetId="3" r:id="rId2"/>
    <sheet name="Options" sheetId="9" r:id="rId3"/>
    <sheet name="Sector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9" l="1"/>
  <c r="G17" i="1" s="1"/>
  <c r="G15" i="1" l="1"/>
  <c r="G18" i="1" s="1"/>
  <c r="G21" i="1" l="1"/>
</calcChain>
</file>

<file path=xl/sharedStrings.xml><?xml version="1.0" encoding="utf-8"?>
<sst xmlns="http://schemas.openxmlformats.org/spreadsheetml/2006/main" count="136" uniqueCount="76">
  <si>
    <t>Ticker</t>
  </si>
  <si>
    <t>Name</t>
  </si>
  <si>
    <t>Share Price</t>
  </si>
  <si>
    <t>Shares Held</t>
  </si>
  <si>
    <t>Market Cap</t>
  </si>
  <si>
    <t>Value of Holdings</t>
  </si>
  <si>
    <t>Percent of Portfolio</t>
  </si>
  <si>
    <t>Currency</t>
  </si>
  <si>
    <t>USD</t>
  </si>
  <si>
    <t>JPY</t>
  </si>
  <si>
    <t>HKD</t>
  </si>
  <si>
    <t>JPY-USD</t>
  </si>
  <si>
    <t>HKD-USD</t>
  </si>
  <si>
    <t>USD Exchange Rate</t>
  </si>
  <si>
    <t>CNY</t>
  </si>
  <si>
    <t>Sector</t>
  </si>
  <si>
    <t>Technology</t>
  </si>
  <si>
    <t>Finance</t>
  </si>
  <si>
    <t>Value of Assets</t>
  </si>
  <si>
    <t>KRW</t>
  </si>
  <si>
    <t>Portfolio Value:</t>
  </si>
  <si>
    <t>Cash Balance:</t>
  </si>
  <si>
    <t>Asset Value:</t>
  </si>
  <si>
    <t>Crypto Holdings:</t>
  </si>
  <si>
    <t>Total Value:</t>
  </si>
  <si>
    <t>Option Offset:</t>
  </si>
  <si>
    <t>Position</t>
  </si>
  <si>
    <t>Strike</t>
  </si>
  <si>
    <t>Value</t>
  </si>
  <si>
    <t>Type</t>
  </si>
  <si>
    <t>Call</t>
  </si>
  <si>
    <t>Total:</t>
  </si>
  <si>
    <t>AAPL</t>
  </si>
  <si>
    <t>MSFT</t>
  </si>
  <si>
    <t>FB</t>
  </si>
  <si>
    <t>Put</t>
  </si>
  <si>
    <t>GOOG</t>
  </si>
  <si>
    <t>Apple</t>
  </si>
  <si>
    <t>Microsoft</t>
  </si>
  <si>
    <t>AMZN</t>
  </si>
  <si>
    <t>Amazon</t>
  </si>
  <si>
    <t>TSLA</t>
  </si>
  <si>
    <t>Telsa</t>
  </si>
  <si>
    <t>Alphabet</t>
  </si>
  <si>
    <t>Facebook</t>
  </si>
  <si>
    <t>NVDA</t>
  </si>
  <si>
    <t>Nvidia</t>
  </si>
  <si>
    <t>PYPL</t>
  </si>
  <si>
    <t>Paypal</t>
  </si>
  <si>
    <t>ADBE</t>
  </si>
  <si>
    <t>Adobe</t>
  </si>
  <si>
    <t>6758.T</t>
  </si>
  <si>
    <t>Sony Group</t>
  </si>
  <si>
    <t>9984.T</t>
  </si>
  <si>
    <t>SoftBank Group</t>
  </si>
  <si>
    <t>7974.T</t>
  </si>
  <si>
    <t>Nintendo Ltd.</t>
  </si>
  <si>
    <t>0005.HK</t>
  </si>
  <si>
    <t>HSBC Holdings</t>
  </si>
  <si>
    <t>Automotive</t>
  </si>
  <si>
    <t>Semiconductors</t>
  </si>
  <si>
    <t>2654.9B</t>
  </si>
  <si>
    <t>2225.2B</t>
  </si>
  <si>
    <t>1434.8B</t>
  </si>
  <si>
    <t>939.7B</t>
  </si>
  <si>
    <t>1729.7B</t>
  </si>
  <si>
    <t>844.5B</t>
  </si>
  <si>
    <t>578.6B</t>
  </si>
  <si>
    <t>190.5B</t>
  </si>
  <si>
    <t>237B</t>
  </si>
  <si>
    <t>1.4B</t>
  </si>
  <si>
    <t>82.8B</t>
  </si>
  <si>
    <t>5.6B</t>
  </si>
  <si>
    <t>138.3B</t>
  </si>
  <si>
    <t>Entertainment</t>
  </si>
  <si>
    <t>* Press Alt+F11 to view VBA macro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</si>
</sst>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26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49" fontId="1" fillId="0" borderId="0" xfId="0" applyNumberFormat="1" applyFont="1"/>
    <xf numFmtId="164" fontId="1" fillId="0" borderId="0" xfId="0" applyNumberFormat="1" applyFont="1"/>
    <xf numFmtId="1" fontId="1" fillId="0" borderId="0" xfId="0" applyNumberFormat="1" applyFont="1"/>
    <xf numFmtId="164" fontId="1" fillId="0" borderId="0" xfId="0" applyNumberFormat="1" applyFont="1" applyFill="1"/>
    <xf numFmtId="2" fontId="1" fillId="0" borderId="0" xfId="0" applyNumberFormat="1" applyFont="1"/>
    <xf numFmtId="10" fontId="1" fillId="0" borderId="0" xfId="0" applyNumberFormat="1" applyFont="1"/>
    <xf numFmtId="0" fontId="3" fillId="0" borderId="2" xfId="0" applyFont="1" applyBorder="1"/>
    <xf numFmtId="164" fontId="3" fillId="0" borderId="3" xfId="0" applyNumberFormat="1" applyFont="1" applyBorder="1"/>
    <xf numFmtId="0" fontId="3" fillId="0" borderId="1" xfId="0" applyFont="1" applyFill="1" applyBorder="1"/>
    <xf numFmtId="49" fontId="1" fillId="0" borderId="0" xfId="0" applyNumberFormat="1" applyFont="1" applyFill="1" applyAlignment="1">
      <alignment horizontal="right"/>
    </xf>
    <xf numFmtId="49" fontId="1" fillId="0" borderId="0" xfId="0" applyNumberFormat="1" applyFont="1" applyFill="1" applyAlignment="1">
      <alignment horizontal="right" wrapText="1"/>
    </xf>
    <xf numFmtId="8" fontId="3" fillId="0" borderId="3" xfId="0" applyNumberFormat="1" applyFont="1" applyBorder="1" applyAlignment="1"/>
    <xf numFmtId="0" fontId="3" fillId="0" borderId="4" xfId="0" applyFont="1" applyBorder="1"/>
    <xf numFmtId="7" fontId="3" fillId="0" borderId="5" xfId="0" applyNumberFormat="1" applyFont="1" applyBorder="1"/>
    <xf numFmtId="8" fontId="1" fillId="0" borderId="0" xfId="0" applyNumberFormat="1" applyFont="1"/>
    <xf numFmtId="8" fontId="1" fillId="0" borderId="3" xfId="0" applyNumberFormat="1" applyFont="1" applyBorder="1"/>
    <xf numFmtId="0" fontId="1" fillId="0" borderId="0" xfId="0" applyFont="1" applyAlignment="1">
      <alignment horizontal="left" wrapText="1"/>
    </xf>
    <xf numFmtId="0" fontId="1" fillId="0" borderId="0" xfId="0" applyFont="1" applyAlignment="1"/>
  </cellXfs>
  <cellStyles count="1">
    <cellStyle name="Normal" xfId="0" builtinId="0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  <alignment horizontal="righ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43769090267223"/>
          <c:y val="0"/>
          <c:w val="0.7008712068886126"/>
          <c:h val="0.975373050480419"/>
        </c:manualLayout>
      </c:layout>
      <c:doughnutChart>
        <c:varyColors val="1"/>
        <c:ser>
          <c:idx val="1"/>
          <c:order val="0"/>
          <c:tx>
            <c:strRef>
              <c:f>Sectors!$E$2:$E$4</c:f>
              <c:strCache>
                <c:ptCount val="3"/>
                <c:pt idx="0">
                  <c:v>Technology</c:v>
                </c:pt>
                <c:pt idx="1">
                  <c:v>Finance</c:v>
                </c:pt>
                <c:pt idx="2">
                  <c:v>Entertainment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F70-4093-A928-CC4E08F0370C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BF70-4093-A928-CC4E08F0370C}"/>
              </c:ext>
            </c:extLst>
          </c:dPt>
          <c:dPt>
            <c:idx val="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F70-4093-A928-CC4E08F0370C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BF70-4093-A928-CC4E08F0370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8E9A5C5-EB1D-424C-9B45-5DDD2521F346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84CE8B3F-E3CD-4C5F-B479-CD12584FA1F1}" type="PERCENTAGE">
                      <a:rPr lang="en-US"/>
                      <a:pPr/>
                      <a:t>[PERCENTAGE]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BF70-4093-A928-CC4E08F037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0F864B-F338-4F89-8863-44983CBA058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F0C4D0A-0E9D-4266-846B-A3CB97614385}" type="PERCENTAGE">
                      <a:rPr lang="en-US"/>
                      <a:pPr/>
                      <a:t>[PERCENTAGE]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BF70-4093-A928-CC4E08F037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982E7D-4D8B-4589-8128-E99D8D2BFFB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3D4D76E0-23F9-4D85-88D1-799669B19F31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70-4093-A928-CC4E08F037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72C8F4-2860-4895-A394-6A4AB7736325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1FC2C3FA-094B-4C8A-AC90-91E445054E56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70-4093-A928-CC4E08F037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Holdings!$A$2:$A$15</c15:sqref>
                  </c15:fullRef>
                </c:ext>
              </c:extLst>
              <c:f>Holdings!$A$2:$A$14</c:f>
              <c:strCache>
                <c:ptCount val="13"/>
                <c:pt idx="0">
                  <c:v>0005.HK</c:v>
                </c:pt>
                <c:pt idx="1">
                  <c:v>AMZN</c:v>
                </c:pt>
                <c:pt idx="2">
                  <c:v>GOOG</c:v>
                </c:pt>
                <c:pt idx="3">
                  <c:v>TSLA</c:v>
                </c:pt>
                <c:pt idx="4">
                  <c:v>FB</c:v>
                </c:pt>
                <c:pt idx="5">
                  <c:v>MSFT</c:v>
                </c:pt>
                <c:pt idx="6">
                  <c:v>ADBE</c:v>
                </c:pt>
                <c:pt idx="7">
                  <c:v>7974.T</c:v>
                </c:pt>
                <c:pt idx="8">
                  <c:v>NVDA</c:v>
                </c:pt>
                <c:pt idx="9">
                  <c:v>9984.T</c:v>
                </c:pt>
                <c:pt idx="10">
                  <c:v>AAPL</c:v>
                </c:pt>
                <c:pt idx="11">
                  <c:v>6758.T</c:v>
                </c:pt>
                <c:pt idx="12">
                  <c:v>PYPL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Sectors!$F$2:$F$5</c15:sqref>
                  </c15:fullRef>
                </c:ext>
              </c:extLst>
              <c:f>Sectors!$F$2:$F$5</c:f>
              <c:numCache>
                <c:formatCode>0.00%</c:formatCode>
                <c:ptCount val="4"/>
                <c:pt idx="0">
                  <c:v>0.55714131265066424</c:v>
                </c:pt>
                <c:pt idx="1">
                  <c:v>0.18637631780770667</c:v>
                </c:pt>
                <c:pt idx="2">
                  <c:v>8.6252620363509475E-2</c:v>
                </c:pt>
                <c:pt idx="3">
                  <c:v>5.6296931708888311E-2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Sectors!$E$2:$E$5</c15:f>
                <c15:dlblRangeCache>
                  <c:ptCount val="4"/>
                  <c:pt idx="0">
                    <c:v>Technology</c:v>
                  </c:pt>
                  <c:pt idx="1">
                    <c:v>Finance</c:v>
                  </c:pt>
                  <c:pt idx="2">
                    <c:v>Entertainment</c:v>
                  </c:pt>
                  <c:pt idx="3">
                    <c:v>Semiconductors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2-BF70-4093-A928-CC4E08F0370C}"/>
            </c:ext>
          </c:extLst>
        </c:ser>
        <c:ser>
          <c:idx val="0"/>
          <c:order val="1"/>
          <c:tx>
            <c:strRef>
              <c:f>Holdings!$A$2:$A$10</c:f>
              <c:strCache>
                <c:ptCount val="9"/>
                <c:pt idx="0">
                  <c:v>0005.HK</c:v>
                </c:pt>
                <c:pt idx="1">
                  <c:v>AMZN</c:v>
                </c:pt>
                <c:pt idx="2">
                  <c:v>GOOG</c:v>
                </c:pt>
                <c:pt idx="3">
                  <c:v>TSLA</c:v>
                </c:pt>
                <c:pt idx="4">
                  <c:v>FB</c:v>
                </c:pt>
                <c:pt idx="5">
                  <c:v>MSFT</c:v>
                </c:pt>
                <c:pt idx="6">
                  <c:v>ADBE</c:v>
                </c:pt>
                <c:pt idx="7">
                  <c:v>7974.T</c:v>
                </c:pt>
                <c:pt idx="8">
                  <c:v>NVDA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34-4105-B9D0-2869CCE72575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34-4105-B9D0-2869CCE7257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34-4105-B9D0-2869CCE7257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34-4105-B9D0-2869CCE72575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34-4105-B9D0-2869CCE72575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34-4105-B9D0-2869CCE72575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34-4105-B9D0-2869CCE72575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34-4105-B9D0-2869CCE72575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34-4105-B9D0-2869CCE72575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34-4105-B9D0-2869CCE72575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29F-4825-AB72-CCFCB39F261F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29F-4825-AB72-CCFCB39F261F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29F-4825-AB72-CCFCB39F26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Holdings!$A$2:$A$15</c15:sqref>
                  </c15:fullRef>
                </c:ext>
              </c:extLst>
              <c:f>Holdings!$A$2:$A$14</c:f>
              <c:strCache>
                <c:ptCount val="13"/>
                <c:pt idx="0">
                  <c:v>0005.HK</c:v>
                </c:pt>
                <c:pt idx="1">
                  <c:v>AMZN</c:v>
                </c:pt>
                <c:pt idx="2">
                  <c:v>GOOG</c:v>
                </c:pt>
                <c:pt idx="3">
                  <c:v>TSLA</c:v>
                </c:pt>
                <c:pt idx="4">
                  <c:v>FB</c:v>
                </c:pt>
                <c:pt idx="5">
                  <c:v>MSFT</c:v>
                </c:pt>
                <c:pt idx="6">
                  <c:v>ADBE</c:v>
                </c:pt>
                <c:pt idx="7">
                  <c:v>7974.T</c:v>
                </c:pt>
                <c:pt idx="8">
                  <c:v>NVDA</c:v>
                </c:pt>
                <c:pt idx="9">
                  <c:v>9984.T</c:v>
                </c:pt>
                <c:pt idx="10">
                  <c:v>AAPL</c:v>
                </c:pt>
                <c:pt idx="11">
                  <c:v>6758.T</c:v>
                </c:pt>
                <c:pt idx="12">
                  <c:v>PYPL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Holdings!$G$2:$G$15</c15:sqref>
                  </c15:fullRef>
                </c:ext>
              </c:extLst>
              <c:f>Holdings!$G$2:$G$14</c:f>
              <c:numCache>
                <c:formatCode>"$"#,##0.00</c:formatCode>
                <c:ptCount val="13"/>
                <c:pt idx="0">
                  <c:v>6844.5</c:v>
                </c:pt>
                <c:pt idx="1">
                  <c:v>5660</c:v>
                </c:pt>
                <c:pt idx="2">
                  <c:v>5202</c:v>
                </c:pt>
                <c:pt idx="3">
                  <c:v>4680</c:v>
                </c:pt>
                <c:pt idx="4">
                  <c:v>3023.5</c:v>
                </c:pt>
                <c:pt idx="5">
                  <c:v>2963</c:v>
                </c:pt>
                <c:pt idx="6">
                  <c:v>2489.1999999999998</c:v>
                </c:pt>
                <c:pt idx="7">
                  <c:v>2407.585</c:v>
                </c:pt>
                <c:pt idx="8">
                  <c:v>2312.5</c:v>
                </c:pt>
                <c:pt idx="9">
                  <c:v>1931.704</c:v>
                </c:pt>
                <c:pt idx="10">
                  <c:v>1616.2</c:v>
                </c:pt>
                <c:pt idx="11">
                  <c:v>1135.4000000000001</c:v>
                </c:pt>
                <c:pt idx="12">
                  <c:v>811.25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4-F335-4EBC-8A53-F9411D9F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28575</xdr:rowOff>
        </xdr:from>
        <xdr:to>
          <xdr:col>14</xdr:col>
          <xdr:colOff>561975</xdr:colOff>
          <xdr:row>24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76199</xdr:colOff>
      <xdr:row>0</xdr:row>
      <xdr:rowOff>71434</xdr:rowOff>
    </xdr:from>
    <xdr:to>
      <xdr:col>20</xdr:col>
      <xdr:colOff>142874</xdr:colOff>
      <xdr:row>19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104775</xdr:rowOff>
        </xdr:from>
        <xdr:to>
          <xdr:col>9</xdr:col>
          <xdr:colOff>504825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0</xdr:row>
          <xdr:rowOff>152400</xdr:rowOff>
        </xdr:from>
        <xdr:to>
          <xdr:col>12</xdr:col>
          <xdr:colOff>114300</xdr:colOff>
          <xdr:row>5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4" totalsRowShown="0" headerRowDxfId="32" dataDxfId="31">
  <autoFilter ref="A1:H14" xr:uid="{00000000-0009-0000-0100-000001000000}"/>
  <sortState xmlns:xlrd2="http://schemas.microsoft.com/office/spreadsheetml/2017/richdata2" ref="A2:H14">
    <sortCondition descending="1" ref="G1:G14"/>
  </sortState>
  <tableColumns count="8">
    <tableColumn id="1" xr3:uid="{00000000-0010-0000-0000-000001000000}" name="Ticker" dataDxfId="30"/>
    <tableColumn id="2" xr3:uid="{00000000-0010-0000-0000-000002000000}" name="Name" dataDxfId="29"/>
    <tableColumn id="3" xr3:uid="{00000000-0010-0000-0000-000003000000}" name="Share Price" dataDxfId="28"/>
    <tableColumn id="9" xr3:uid="{00000000-0010-0000-0000-000009000000}" name="Currency" dataDxfId="27"/>
    <tableColumn id="4" xr3:uid="{00000000-0010-0000-0000-000004000000}" name="Shares Held" dataDxfId="26"/>
    <tableColumn id="5" xr3:uid="{00000000-0010-0000-0000-000005000000}" name="Market Cap" dataDxfId="25"/>
    <tableColumn id="6" xr3:uid="{00000000-0010-0000-0000-000006000000}" name="Value of Holdings" dataDxfId="24"/>
    <tableColumn id="7" xr3:uid="{00000000-0010-0000-0000-000007000000}" name="Percent of Portfolio" dataDxfId="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5" totalsRowShown="0" headerRowDxfId="22" dataDxfId="21">
  <autoFilter ref="A1:B5" xr:uid="{00000000-0009-0000-0100-000003000000}"/>
  <tableColumns count="2">
    <tableColumn id="1" xr3:uid="{00000000-0010-0000-0100-000001000000}" name="Currency" dataDxfId="20"/>
    <tableColumn id="2" xr3:uid="{00000000-0010-0000-0100-000002000000}" name="USD Exchange Rate" dataDxfId="1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A1:E5" totalsRowShown="0" headerRowDxfId="18" dataDxfId="17">
  <autoFilter ref="A1:E5" xr:uid="{00000000-0009-0000-0100-000007000000}"/>
  <sortState xmlns:xlrd2="http://schemas.microsoft.com/office/spreadsheetml/2017/richdata2" ref="A2:E2">
    <sortCondition ref="A1:A2"/>
  </sortState>
  <tableColumns count="5">
    <tableColumn id="1" xr3:uid="{00000000-0010-0000-0200-000001000000}" name="Ticker" dataDxfId="16"/>
    <tableColumn id="2" xr3:uid="{00000000-0010-0000-0200-000002000000}" name="Position" dataDxfId="15"/>
    <tableColumn id="3" xr3:uid="{00000000-0010-0000-0200-000003000000}" name="Type" dataDxfId="14"/>
    <tableColumn id="4" xr3:uid="{00000000-0010-0000-0200-000004000000}" name="Strike" dataDxfId="13"/>
    <tableColumn id="5" xr3:uid="{00000000-0010-0000-0200-000005000000}" name="Value" dataDxfId="1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A1:C14" totalsRowShown="0" headerRowDxfId="11" dataDxfId="9" headerRowBorderDxfId="10" tableBorderDxfId="8">
  <autoFilter ref="A1:C14" xr:uid="{00000000-0009-0000-0100-000006000000}"/>
  <sortState xmlns:xlrd2="http://schemas.microsoft.com/office/spreadsheetml/2017/richdata2" ref="A2:C14">
    <sortCondition ref="C1:C14"/>
  </sortState>
  <tableColumns count="3">
    <tableColumn id="1" xr3:uid="{00000000-0010-0000-0300-000001000000}" name="Ticker" dataDxfId="1"/>
    <tableColumn id="2" xr3:uid="{00000000-0010-0000-0300-000002000000}" name="Name" dataDxfId="0"/>
    <tableColumn id="3" xr3:uid="{00000000-0010-0000-0300-000003000000}" name="Sector" dataDxfId="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E1:G5" totalsRowShown="0" headerRowDxfId="6" dataDxfId="5">
  <autoFilter ref="E1:G5" xr:uid="{00000000-0009-0000-0100-000004000000}"/>
  <sortState xmlns:xlrd2="http://schemas.microsoft.com/office/spreadsheetml/2017/richdata2" ref="E2:G5">
    <sortCondition descending="1" ref="F1:F5"/>
  </sortState>
  <tableColumns count="3">
    <tableColumn id="1" xr3:uid="{00000000-0010-0000-0400-000001000000}" name="Sector" dataDxfId="4"/>
    <tableColumn id="2" xr3:uid="{00000000-0010-0000-0400-000002000000}" name="Percent of Portfolio" dataDxfId="3"/>
    <tableColumn id="3" xr3:uid="{00000000-0010-0000-0400-000003000000}" name="Value of Assets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"/>
  <sheetViews>
    <sheetView tabSelected="1" zoomScaleNormal="100" workbookViewId="0">
      <selection activeCell="H18" sqref="H18"/>
    </sheetView>
  </sheetViews>
  <sheetFormatPr defaultColWidth="9.140625" defaultRowHeight="15.75" x14ac:dyDescent="0.25"/>
  <cols>
    <col min="1" max="1" width="11.85546875" style="1" customWidth="1"/>
    <col min="2" max="2" width="39.140625" style="1" customWidth="1"/>
    <col min="3" max="3" width="14.5703125" style="1" customWidth="1"/>
    <col min="4" max="4" width="12.85546875" style="1" customWidth="1"/>
    <col min="5" max="5" width="15" style="1" customWidth="1"/>
    <col min="6" max="6" width="18" style="1" customWidth="1"/>
    <col min="7" max="7" width="20.28515625" style="1" customWidth="1"/>
    <col min="8" max="8" width="22" style="1" customWidth="1"/>
    <col min="9" max="16384" width="9.140625" style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7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5">
      <c r="A2" s="2" t="s">
        <v>57</v>
      </c>
      <c r="B2" s="2" t="s">
        <v>58</v>
      </c>
      <c r="C2" s="5">
        <v>6.8444730077120823</v>
      </c>
      <c r="D2" s="3" t="s">
        <v>12</v>
      </c>
      <c r="E2" s="4">
        <v>1000</v>
      </c>
      <c r="F2" s="12" t="s">
        <v>73</v>
      </c>
      <c r="G2" s="3">
        <v>6844.5</v>
      </c>
      <c r="H2" s="7">
        <v>0.16662674554875073</v>
      </c>
    </row>
    <row r="3" spans="1:8" x14ac:dyDescent="0.25">
      <c r="A3" s="2" t="s">
        <v>39</v>
      </c>
      <c r="B3" s="2" t="s">
        <v>40</v>
      </c>
      <c r="C3" s="5">
        <v>2830</v>
      </c>
      <c r="D3" s="3" t="s">
        <v>8</v>
      </c>
      <c r="E3" s="4">
        <v>2</v>
      </c>
      <c r="F3" s="11" t="s">
        <v>63</v>
      </c>
      <c r="G3" s="3">
        <v>5660</v>
      </c>
      <c r="H3" s="7">
        <v>0.13779054420424122</v>
      </c>
    </row>
    <row r="4" spans="1:8" x14ac:dyDescent="0.25">
      <c r="A4" s="2" t="s">
        <v>36</v>
      </c>
      <c r="B4" s="2" t="s">
        <v>43</v>
      </c>
      <c r="C4" s="5">
        <v>2601</v>
      </c>
      <c r="D4" s="3" t="s">
        <v>8</v>
      </c>
      <c r="E4" s="4">
        <v>2</v>
      </c>
      <c r="F4" s="11" t="s">
        <v>65</v>
      </c>
      <c r="G4" s="3">
        <v>5202</v>
      </c>
      <c r="H4" s="7">
        <v>0.12664070864849167</v>
      </c>
    </row>
    <row r="5" spans="1:8" x14ac:dyDescent="0.25">
      <c r="A5" s="2" t="s">
        <v>41</v>
      </c>
      <c r="B5" s="2" t="s">
        <v>42</v>
      </c>
      <c r="C5" s="5">
        <v>936</v>
      </c>
      <c r="D5" s="3" t="s">
        <v>8</v>
      </c>
      <c r="E5" s="4">
        <v>5</v>
      </c>
      <c r="F5" s="11" t="s">
        <v>64</v>
      </c>
      <c r="G5" s="3">
        <v>4680</v>
      </c>
      <c r="H5" s="7">
        <v>0.11393281746923126</v>
      </c>
    </row>
    <row r="6" spans="1:8" x14ac:dyDescent="0.25">
      <c r="A6" s="2" t="s">
        <v>34</v>
      </c>
      <c r="B6" s="2" t="s">
        <v>44</v>
      </c>
      <c r="C6" s="5">
        <v>302.35000000000002</v>
      </c>
      <c r="D6" s="3" t="s">
        <v>8</v>
      </c>
      <c r="E6" s="4">
        <v>10</v>
      </c>
      <c r="F6" s="11" t="s">
        <v>66</v>
      </c>
      <c r="G6" s="3">
        <v>3023.5</v>
      </c>
      <c r="H6" s="7">
        <v>7.360595590132922E-2</v>
      </c>
    </row>
    <row r="7" spans="1:8" x14ac:dyDescent="0.25">
      <c r="A7" s="2" t="s">
        <v>33</v>
      </c>
      <c r="B7" s="2" t="s">
        <v>38</v>
      </c>
      <c r="C7" s="5">
        <v>296.3</v>
      </c>
      <c r="D7" s="3" t="s">
        <v>8</v>
      </c>
      <c r="E7" s="4">
        <v>10</v>
      </c>
      <c r="F7" s="11" t="s">
        <v>62</v>
      </c>
      <c r="G7" s="3">
        <v>2963</v>
      </c>
      <c r="H7" s="7">
        <v>7.2133106444729103E-2</v>
      </c>
    </row>
    <row r="8" spans="1:8" x14ac:dyDescent="0.25">
      <c r="A8" s="2" t="s">
        <v>49</v>
      </c>
      <c r="B8" s="2" t="s">
        <v>50</v>
      </c>
      <c r="C8" s="5">
        <v>497.84</v>
      </c>
      <c r="D8" s="3" t="s">
        <v>8</v>
      </c>
      <c r="E8" s="4">
        <v>5</v>
      </c>
      <c r="F8" s="11" t="s">
        <v>69</v>
      </c>
      <c r="G8" s="3">
        <v>2489.1999999999998</v>
      </c>
      <c r="H8" s="7">
        <v>6.0598625906925309E-2</v>
      </c>
    </row>
    <row r="9" spans="1:8" x14ac:dyDescent="0.25">
      <c r="A9" s="2" t="s">
        <v>55</v>
      </c>
      <c r="B9" s="2" t="s">
        <v>56</v>
      </c>
      <c r="C9" s="5">
        <v>48.151733849674351</v>
      </c>
      <c r="D9" s="3" t="s">
        <v>11</v>
      </c>
      <c r="E9" s="4">
        <v>50</v>
      </c>
      <c r="F9" s="12" t="s">
        <v>72</v>
      </c>
      <c r="G9" s="3">
        <v>2407.585</v>
      </c>
      <c r="H9" s="7">
        <v>5.8611739817662212E-2</v>
      </c>
    </row>
    <row r="10" spans="1:8" x14ac:dyDescent="0.25">
      <c r="A10" s="2" t="s">
        <v>45</v>
      </c>
      <c r="B10" s="2" t="s">
        <v>46</v>
      </c>
      <c r="C10" s="5">
        <v>231.25</v>
      </c>
      <c r="D10" s="3" t="s">
        <v>8</v>
      </c>
      <c r="E10" s="4">
        <v>10</v>
      </c>
      <c r="F10" s="11" t="s">
        <v>67</v>
      </c>
      <c r="G10" s="3">
        <v>2312.5</v>
      </c>
      <c r="H10" s="7">
        <v>5.6296931708888311E-2</v>
      </c>
    </row>
    <row r="11" spans="1:8" x14ac:dyDescent="0.25">
      <c r="A11" s="2" t="s">
        <v>53</v>
      </c>
      <c r="B11" s="2" t="s">
        <v>54</v>
      </c>
      <c r="C11" s="5">
        <v>48.292554127794403</v>
      </c>
      <c r="D11" s="3" t="s">
        <v>11</v>
      </c>
      <c r="E11" s="4">
        <v>40</v>
      </c>
      <c r="F11" s="12" t="s">
        <v>71</v>
      </c>
      <c r="G11" s="3">
        <v>1931.704</v>
      </c>
      <c r="H11" s="7">
        <v>4.7026598127475193E-2</v>
      </c>
    </row>
    <row r="12" spans="1:8" x14ac:dyDescent="0.25">
      <c r="A12" s="2" t="s">
        <v>32</v>
      </c>
      <c r="B12" s="2" t="s">
        <v>37</v>
      </c>
      <c r="C12" s="5">
        <v>161.62</v>
      </c>
      <c r="D12" s="3" t="s">
        <v>8</v>
      </c>
      <c r="E12" s="4">
        <v>10</v>
      </c>
      <c r="F12" s="11" t="s">
        <v>61</v>
      </c>
      <c r="G12" s="3">
        <v>1616.2</v>
      </c>
      <c r="H12" s="7">
        <v>3.9345773417472557E-2</v>
      </c>
    </row>
    <row r="13" spans="1:8" x14ac:dyDescent="0.25">
      <c r="A13" s="2" t="s">
        <v>51</v>
      </c>
      <c r="B13" s="2" t="s">
        <v>52</v>
      </c>
      <c r="C13" s="5">
        <v>1.1353634923428972</v>
      </c>
      <c r="D13" s="3" t="s">
        <v>11</v>
      </c>
      <c r="E13" s="4">
        <v>1000</v>
      </c>
      <c r="F13" s="12" t="s">
        <v>70</v>
      </c>
      <c r="G13" s="3">
        <v>1135.4000000000001</v>
      </c>
      <c r="H13" s="7">
        <v>2.7640880545847259E-2</v>
      </c>
    </row>
    <row r="14" spans="1:8" ht="16.5" thickBot="1" x14ac:dyDescent="0.3">
      <c r="A14" s="2" t="s">
        <v>47</v>
      </c>
      <c r="B14" s="2" t="s">
        <v>48</v>
      </c>
      <c r="C14" s="5">
        <v>162.25</v>
      </c>
      <c r="D14" s="3" t="s">
        <v>8</v>
      </c>
      <c r="E14" s="4">
        <v>5</v>
      </c>
      <c r="F14" s="11" t="s">
        <v>68</v>
      </c>
      <c r="G14" s="3">
        <v>811.25</v>
      </c>
      <c r="H14" s="7">
        <v>1.9749572258955954E-2</v>
      </c>
    </row>
    <row r="15" spans="1:8" ht="16.5" thickBot="1" x14ac:dyDescent="0.3">
      <c r="F15" s="8" t="s">
        <v>22</v>
      </c>
      <c r="G15" s="9">
        <f>SUM(Table1[Value of Holdings])</f>
        <v>41076.839</v>
      </c>
    </row>
    <row r="16" spans="1:8" ht="16.5" thickBot="1" x14ac:dyDescent="0.3">
      <c r="F16" s="8" t="s">
        <v>21</v>
      </c>
      <c r="G16" s="13">
        <v>100</v>
      </c>
    </row>
    <row r="17" spans="6:15" ht="16.5" thickBot="1" x14ac:dyDescent="0.3">
      <c r="F17" s="8" t="s">
        <v>25</v>
      </c>
      <c r="G17" s="13">
        <f>Options!E6</f>
        <v>-3703.0000000000018</v>
      </c>
    </row>
    <row r="18" spans="6:15" ht="16.5" thickBot="1" x14ac:dyDescent="0.3">
      <c r="F18" s="8" t="s">
        <v>20</v>
      </c>
      <c r="G18" s="9">
        <f>SUM(G15:G17)</f>
        <v>37473.839</v>
      </c>
    </row>
    <row r="19" spans="6:15" ht="16.5" thickBot="1" x14ac:dyDescent="0.3"/>
    <row r="20" spans="6:15" ht="16.5" thickBot="1" x14ac:dyDescent="0.3">
      <c r="F20" s="14" t="s">
        <v>23</v>
      </c>
      <c r="G20" s="15">
        <v>0</v>
      </c>
    </row>
    <row r="21" spans="6:15" ht="16.5" thickBot="1" x14ac:dyDescent="0.3">
      <c r="F21" s="8" t="s">
        <v>24</v>
      </c>
      <c r="G21" s="9">
        <f>SUM(G18, G20)</f>
        <v>37473.839</v>
      </c>
    </row>
    <row r="26" spans="6:15" ht="15.75" customHeight="1" x14ac:dyDescent="0.25">
      <c r="I26" s="18" t="s">
        <v>75</v>
      </c>
      <c r="J26" s="18"/>
      <c r="K26" s="18"/>
      <c r="L26" s="18"/>
      <c r="M26" s="18"/>
      <c r="N26" s="18"/>
      <c r="O26" s="18"/>
    </row>
    <row r="27" spans="6:15" x14ac:dyDescent="0.25">
      <c r="I27" s="19"/>
      <c r="J27" s="19"/>
      <c r="K27" s="19"/>
      <c r="L27" s="19"/>
      <c r="M27" s="19"/>
      <c r="N27" s="19"/>
      <c r="O27" s="19"/>
    </row>
  </sheetData>
  <mergeCells count="1">
    <mergeCell ref="I26:O2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doFullUpdate">
                <anchor moveWithCells="1">
                  <from>
                    <xdr:col>8</xdr:col>
                    <xdr:colOff>66675</xdr:colOff>
                    <xdr:row>20</xdr:row>
                    <xdr:rowOff>28575</xdr:rowOff>
                  </from>
                  <to>
                    <xdr:col>14</xdr:col>
                    <xdr:colOff>561975</xdr:colOff>
                    <xdr:row>24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workbookViewId="0">
      <selection activeCell="B20" sqref="B20"/>
    </sheetView>
  </sheetViews>
  <sheetFormatPr defaultColWidth="9.140625" defaultRowHeight="15.75" x14ac:dyDescent="0.25"/>
  <cols>
    <col min="1" max="1" width="19.140625" style="1" customWidth="1"/>
    <col min="2" max="2" width="26" style="1" customWidth="1"/>
    <col min="3" max="16384" width="9.140625" style="1"/>
  </cols>
  <sheetData>
    <row r="1" spans="1:2" x14ac:dyDescent="0.25">
      <c r="A1" s="1" t="s">
        <v>7</v>
      </c>
      <c r="B1" s="1" t="s">
        <v>13</v>
      </c>
    </row>
    <row r="2" spans="1:2" x14ac:dyDescent="0.25">
      <c r="A2" s="1" t="s">
        <v>9</v>
      </c>
      <c r="B2" s="6">
        <v>113.62</v>
      </c>
    </row>
    <row r="3" spans="1:2" x14ac:dyDescent="0.25">
      <c r="A3" s="1" t="s">
        <v>14</v>
      </c>
      <c r="B3" s="6">
        <v>6.33</v>
      </c>
    </row>
    <row r="4" spans="1:2" x14ac:dyDescent="0.25">
      <c r="A4" s="1" t="s">
        <v>10</v>
      </c>
      <c r="B4" s="6">
        <v>7.78</v>
      </c>
    </row>
    <row r="5" spans="1:2" x14ac:dyDescent="0.25">
      <c r="A5" s="1" t="s">
        <v>19</v>
      </c>
      <c r="B5" s="4">
        <v>1192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doCurrencyUpdateOnly">
                <anchor moveWithCells="1">
                  <from>
                    <xdr:col>3</xdr:col>
                    <xdr:colOff>9525</xdr:colOff>
                    <xdr:row>0</xdr:row>
                    <xdr:rowOff>104775</xdr:rowOff>
                  </from>
                  <to>
                    <xdr:col>9</xdr:col>
                    <xdr:colOff>504825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6"/>
  <sheetViews>
    <sheetView workbookViewId="0">
      <selection activeCell="E4" sqref="E4"/>
    </sheetView>
  </sheetViews>
  <sheetFormatPr defaultColWidth="9.140625" defaultRowHeight="15.75" x14ac:dyDescent="0.25"/>
  <cols>
    <col min="1" max="2" width="10.7109375" style="1" customWidth="1"/>
    <col min="3" max="3" width="8.5703125" style="1" customWidth="1"/>
    <col min="4" max="4" width="10.7109375" style="1" customWidth="1"/>
    <col min="5" max="5" width="21.42578125" style="1" customWidth="1"/>
    <col min="6" max="16384" width="9.140625" style="1"/>
  </cols>
  <sheetData>
    <row r="1" spans="1:5" x14ac:dyDescent="0.25">
      <c r="A1" s="1" t="s">
        <v>0</v>
      </c>
      <c r="B1" s="1" t="s">
        <v>26</v>
      </c>
      <c r="C1" s="1" t="s">
        <v>29</v>
      </c>
      <c r="D1" s="1" t="s">
        <v>27</v>
      </c>
      <c r="E1" s="1" t="s">
        <v>28</v>
      </c>
    </row>
    <row r="2" spans="1:5" x14ac:dyDescent="0.25">
      <c r="A2" s="1" t="s">
        <v>32</v>
      </c>
      <c r="B2" s="1">
        <v>1</v>
      </c>
      <c r="C2" s="1" t="s">
        <v>30</v>
      </c>
      <c r="D2" s="3">
        <v>100</v>
      </c>
      <c r="E2" s="16">
        <v>6162</v>
      </c>
    </row>
    <row r="3" spans="1:5" x14ac:dyDescent="0.25">
      <c r="A3" s="1" t="s">
        <v>33</v>
      </c>
      <c r="B3" s="1">
        <v>-1</v>
      </c>
      <c r="C3" s="1" t="s">
        <v>30</v>
      </c>
      <c r="D3" s="3">
        <v>100</v>
      </c>
      <c r="E3" s="16">
        <v>-19630</v>
      </c>
    </row>
    <row r="4" spans="1:5" x14ac:dyDescent="0.25">
      <c r="A4" s="1" t="s">
        <v>34</v>
      </c>
      <c r="B4" s="1">
        <v>1</v>
      </c>
      <c r="C4" s="1" t="s">
        <v>35</v>
      </c>
      <c r="D4" s="3">
        <v>400</v>
      </c>
      <c r="E4" s="16">
        <v>9764.9999999999982</v>
      </c>
    </row>
    <row r="5" spans="1:5" ht="16.5" thickBot="1" x14ac:dyDescent="0.3">
      <c r="A5" s="1" t="s">
        <v>36</v>
      </c>
      <c r="B5" s="1">
        <v>-1</v>
      </c>
      <c r="C5" s="1" t="s">
        <v>35</v>
      </c>
      <c r="D5" s="3">
        <v>2500</v>
      </c>
      <c r="E5" s="16">
        <v>0</v>
      </c>
    </row>
    <row r="6" spans="1:5" ht="16.5" thickBot="1" x14ac:dyDescent="0.3">
      <c r="D6" s="8" t="s">
        <v>31</v>
      </c>
      <c r="E6" s="17">
        <f>SUM(Table7[Value])</f>
        <v>-3703.0000000000018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doOptionsUpdateOnly">
                <anchor moveWithCells="1">
                  <from>
                    <xdr:col>5</xdr:col>
                    <xdr:colOff>228600</xdr:colOff>
                    <xdr:row>0</xdr:row>
                    <xdr:rowOff>152400</xdr:rowOff>
                  </from>
                  <to>
                    <xdr:col>12</xdr:col>
                    <xdr:colOff>114300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14"/>
  <sheetViews>
    <sheetView workbookViewId="0">
      <selection activeCell="B11" sqref="B11"/>
    </sheetView>
  </sheetViews>
  <sheetFormatPr defaultColWidth="9.140625" defaultRowHeight="15.75" x14ac:dyDescent="0.25"/>
  <cols>
    <col min="1" max="1" width="10.42578125" style="1" customWidth="1"/>
    <col min="2" max="2" width="39.5703125" style="1" customWidth="1"/>
    <col min="3" max="3" width="24" style="1" customWidth="1"/>
    <col min="4" max="4" width="9.140625" style="1"/>
    <col min="5" max="5" width="27.140625" style="1" customWidth="1"/>
    <col min="6" max="6" width="36.28515625" style="1" customWidth="1"/>
    <col min="7" max="7" width="27.28515625" style="1" customWidth="1"/>
    <col min="8" max="16384" width="9.140625" style="1"/>
  </cols>
  <sheetData>
    <row r="1" spans="1:7" x14ac:dyDescent="0.25">
      <c r="A1" s="10" t="s">
        <v>0</v>
      </c>
      <c r="B1" s="10" t="s">
        <v>1</v>
      </c>
      <c r="C1" s="10" t="s">
        <v>15</v>
      </c>
      <c r="E1" s="1" t="s">
        <v>15</v>
      </c>
      <c r="F1" s="1" t="s">
        <v>6</v>
      </c>
      <c r="G1" s="1" t="s">
        <v>18</v>
      </c>
    </row>
    <row r="2" spans="1:7" x14ac:dyDescent="0.25">
      <c r="A2" s="2" t="s">
        <v>41</v>
      </c>
      <c r="B2" s="2" t="s">
        <v>42</v>
      </c>
      <c r="C2" s="5" t="s">
        <v>59</v>
      </c>
      <c r="E2" s="1" t="s">
        <v>16</v>
      </c>
      <c r="F2" s="7">
        <v>0.55714131265066424</v>
      </c>
      <c r="G2" s="3">
        <v>22885.603999999999</v>
      </c>
    </row>
    <row r="3" spans="1:7" x14ac:dyDescent="0.25">
      <c r="A3" s="2" t="s">
        <v>51</v>
      </c>
      <c r="B3" s="2" t="s">
        <v>52</v>
      </c>
      <c r="C3" s="5" t="s">
        <v>74</v>
      </c>
      <c r="E3" s="1" t="s">
        <v>17</v>
      </c>
      <c r="F3" s="7">
        <v>0.18637631780770667</v>
      </c>
      <c r="G3" s="3">
        <v>7655.75</v>
      </c>
    </row>
    <row r="4" spans="1:7" x14ac:dyDescent="0.25">
      <c r="A4" s="2" t="s">
        <v>55</v>
      </c>
      <c r="B4" s="2" t="s">
        <v>56</v>
      </c>
      <c r="C4" s="5" t="s">
        <v>74</v>
      </c>
      <c r="E4" s="5" t="s">
        <v>74</v>
      </c>
      <c r="F4" s="7">
        <v>8.6252620363509475E-2</v>
      </c>
      <c r="G4" s="3">
        <v>3542.9850000000001</v>
      </c>
    </row>
    <row r="5" spans="1:7" x14ac:dyDescent="0.25">
      <c r="A5" s="2" t="s">
        <v>47</v>
      </c>
      <c r="B5" s="2" t="s">
        <v>48</v>
      </c>
      <c r="C5" s="5" t="s">
        <v>17</v>
      </c>
      <c r="E5" s="5" t="s">
        <v>60</v>
      </c>
      <c r="F5" s="7">
        <v>5.6296931708888311E-2</v>
      </c>
      <c r="G5" s="3">
        <v>2312.5</v>
      </c>
    </row>
    <row r="6" spans="1:7" x14ac:dyDescent="0.25">
      <c r="A6" s="2" t="s">
        <v>57</v>
      </c>
      <c r="B6" s="2" t="s">
        <v>58</v>
      </c>
      <c r="C6" s="5" t="s">
        <v>17</v>
      </c>
    </row>
    <row r="7" spans="1:7" x14ac:dyDescent="0.25">
      <c r="A7" s="2" t="s">
        <v>45</v>
      </c>
      <c r="B7" s="2" t="s">
        <v>46</v>
      </c>
      <c r="C7" s="5" t="s">
        <v>60</v>
      </c>
      <c r="F7" s="7"/>
    </row>
    <row r="8" spans="1:7" x14ac:dyDescent="0.25">
      <c r="A8" s="2" t="s">
        <v>32</v>
      </c>
      <c r="B8" s="2" t="s">
        <v>37</v>
      </c>
      <c r="C8" s="5" t="s">
        <v>16</v>
      </c>
    </row>
    <row r="9" spans="1:7" x14ac:dyDescent="0.25">
      <c r="A9" s="2" t="s">
        <v>33</v>
      </c>
      <c r="B9" s="2" t="s">
        <v>38</v>
      </c>
      <c r="C9" s="5" t="s">
        <v>16</v>
      </c>
    </row>
    <row r="10" spans="1:7" x14ac:dyDescent="0.25">
      <c r="A10" s="2" t="s">
        <v>39</v>
      </c>
      <c r="B10" s="2" t="s">
        <v>40</v>
      </c>
      <c r="C10" s="5" t="s">
        <v>16</v>
      </c>
    </row>
    <row r="11" spans="1:7" x14ac:dyDescent="0.25">
      <c r="A11" s="2" t="s">
        <v>36</v>
      </c>
      <c r="B11" s="2" t="s">
        <v>43</v>
      </c>
      <c r="C11" s="5" t="s">
        <v>16</v>
      </c>
    </row>
    <row r="12" spans="1:7" x14ac:dyDescent="0.25">
      <c r="A12" s="2" t="s">
        <v>34</v>
      </c>
      <c r="B12" s="2" t="s">
        <v>44</v>
      </c>
      <c r="C12" s="5" t="s">
        <v>16</v>
      </c>
    </row>
    <row r="13" spans="1:7" x14ac:dyDescent="0.25">
      <c r="A13" s="2" t="s">
        <v>49</v>
      </c>
      <c r="B13" s="2" t="s">
        <v>50</v>
      </c>
      <c r="C13" s="5" t="s">
        <v>16</v>
      </c>
    </row>
    <row r="14" spans="1:7" x14ac:dyDescent="0.25">
      <c r="A14" s="2" t="s">
        <v>53</v>
      </c>
      <c r="B14" s="2" t="s">
        <v>54</v>
      </c>
      <c r="C14" s="5" t="s">
        <v>16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Holdings</vt:lpstr>
      <vt:lpstr>Currency</vt:lpstr>
      <vt:lpstr>Options</vt:lpstr>
      <vt:lpstr>Sectors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Remmett</dc:creator>
  <cp:lastModifiedBy>cjr</cp:lastModifiedBy>
  <dcterms:created xsi:type="dcterms:W3CDTF">2020-01-10T21:09:23Z</dcterms:created>
  <dcterms:modified xsi:type="dcterms:W3CDTF">2022-01-23T20:16:35Z</dcterms:modified>
</cp:coreProperties>
</file>